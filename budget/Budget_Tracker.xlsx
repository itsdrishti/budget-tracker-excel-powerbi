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ishti\Desktop\"/>
    </mc:Choice>
  </mc:AlternateContent>
  <xr:revisionPtr revIDLastSave="0" documentId="8_{E4C27D7A-9E91-49D2-AA64-1C4B19E75B71}" xr6:coauthVersionLast="47" xr6:coauthVersionMax="47" xr10:uidLastSave="{00000000-0000-0000-0000-000000000000}"/>
  <bookViews>
    <workbookView xWindow="-110" yWindow="-110" windowWidth="19420" windowHeight="10300" activeTab="4" xr2:uid="{53C4CF7A-13E4-4B15-9BCF-954862E9AEB6}"/>
  </bookViews>
  <sheets>
    <sheet name="Sheet8" sheetId="8" r:id="rId1"/>
    <sheet name=" Pivot" sheetId="7" r:id="rId2"/>
    <sheet name="Transactions" sheetId="1" r:id="rId3"/>
    <sheet name="Summary" sheetId="2" r:id="rId4"/>
    <sheet name="Budget" sheetId="3" r:id="rId5"/>
    <sheet name="Lookup" sheetId="4" r:id="rId6"/>
    <sheet name="Dashboard" sheetId="5" r:id="rId7"/>
  </sheets>
  <calcPr calcId="191029"/>
  <pivotCaches>
    <pivotCache cacheId="1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4" l="1"/>
  <c r="F7" i="4"/>
  <c r="F4" i="4"/>
  <c r="F3" i="4"/>
  <c r="D6" i="3"/>
  <c r="D7" i="3"/>
  <c r="D8" i="3"/>
  <c r="E6" i="3"/>
  <c r="E7" i="3"/>
  <c r="E8" i="3"/>
  <c r="C3" i="3"/>
  <c r="C4" i="3"/>
  <c r="C5" i="3"/>
  <c r="C6" i="3"/>
  <c r="C7" i="3"/>
  <c r="C8" i="3"/>
  <c r="C2" i="3"/>
  <c r="B9" i="3"/>
  <c r="B29" i="2"/>
  <c r="B28" i="2"/>
  <c r="B27" i="2"/>
  <c r="B24" i="2"/>
  <c r="B23" i="2"/>
  <c r="B20" i="2"/>
  <c r="B19" i="2"/>
  <c r="B18" i="2"/>
  <c r="B14" i="2"/>
  <c r="B15" i="2"/>
  <c r="B13" i="2"/>
  <c r="B12" i="2"/>
  <c r="B11" i="2"/>
  <c r="B10" i="2"/>
  <c r="B9" i="2"/>
  <c r="B6" i="2"/>
  <c r="B5" i="2"/>
  <c r="B4" i="2"/>
  <c r="B3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2" i="1"/>
  <c r="D3" i="3" l="1"/>
  <c r="E3" i="3" s="1"/>
  <c r="D5" i="3"/>
  <c r="D4" i="3"/>
  <c r="E4" i="3" s="1"/>
  <c r="C9" i="3"/>
  <c r="D9" i="3" s="1"/>
  <c r="E5" i="3" l="1"/>
  <c r="D2" i="3"/>
  <c r="E2" i="3" s="1"/>
</calcChain>
</file>

<file path=xl/sharedStrings.xml><?xml version="1.0" encoding="utf-8"?>
<sst xmlns="http://schemas.openxmlformats.org/spreadsheetml/2006/main" count="222" uniqueCount="101">
  <si>
    <t>Date</t>
  </si>
  <si>
    <t>Category</t>
  </si>
  <si>
    <t>Sub-Category</t>
  </si>
  <si>
    <t>Description</t>
  </si>
  <si>
    <t>Month</t>
  </si>
  <si>
    <t xml:space="preserve">    Type</t>
  </si>
  <si>
    <t xml:space="preserve"> Amount</t>
  </si>
  <si>
    <t xml:space="preserve">   Month</t>
  </si>
  <si>
    <t>Income</t>
  </si>
  <si>
    <t>Salary</t>
  </si>
  <si>
    <t>Monthly Salary</t>
  </si>
  <si>
    <t>Food</t>
  </si>
  <si>
    <t>Groceries</t>
  </si>
  <si>
    <t>Big Bazaar</t>
  </si>
  <si>
    <t>Expense</t>
  </si>
  <si>
    <t>Transport</t>
  </si>
  <si>
    <t>Fuel</t>
  </si>
  <si>
    <t>Petrol</t>
  </si>
  <si>
    <t>Restaurant</t>
  </si>
  <si>
    <t>Dinner Out</t>
  </si>
  <si>
    <t>Shopping</t>
  </si>
  <si>
    <t>Clothes</t>
  </si>
  <si>
    <t>New Shirt</t>
  </si>
  <si>
    <t>Bills</t>
  </si>
  <si>
    <t>Electricity</t>
  </si>
  <si>
    <t>Electric Bill</t>
  </si>
  <si>
    <t>Internet</t>
  </si>
  <si>
    <t>WiFi Bill</t>
  </si>
  <si>
    <t>Weekly Shopping</t>
  </si>
  <si>
    <t>Auto</t>
  </si>
  <si>
    <t>Office Commute</t>
  </si>
  <si>
    <t>Entertainment</t>
  </si>
  <si>
    <t>OTT</t>
  </si>
  <si>
    <t>Netflix</t>
  </si>
  <si>
    <t>Health</t>
  </si>
  <si>
    <t>Medicine</t>
  </si>
  <si>
    <t>Pharmacy</t>
  </si>
  <si>
    <t>Electronics</t>
  </si>
  <si>
    <t>Earphones</t>
  </si>
  <si>
    <t>Birthday Dinner</t>
  </si>
  <si>
    <t>Jeans</t>
  </si>
  <si>
    <t>Movies</t>
  </si>
  <si>
    <t>Valentine Movie</t>
  </si>
  <si>
    <t>Lunch Out</t>
  </si>
  <si>
    <t>Gym</t>
  </si>
  <si>
    <t>Gym Membership</t>
  </si>
  <si>
    <t>Freelance</t>
  </si>
  <si>
    <t>Web Project</t>
  </si>
  <si>
    <t>Savings</t>
  </si>
  <si>
    <t>Investment</t>
  </si>
  <si>
    <t>Mutual Fund</t>
  </si>
  <si>
    <t>Monthly Shopping</t>
  </si>
  <si>
    <t>Cab</t>
  </si>
  <si>
    <t>Office Cab</t>
  </si>
  <si>
    <t>Books</t>
  </si>
  <si>
    <t>Study Books</t>
  </si>
  <si>
    <t>Doctor</t>
  </si>
  <si>
    <t>Checkup</t>
  </si>
  <si>
    <t>Amazon Prime</t>
  </si>
  <si>
    <t>Team Lunch</t>
  </si>
  <si>
    <t>SIP</t>
  </si>
  <si>
    <t>BUDGET SUMMARY</t>
  </si>
  <si>
    <t>Total Income</t>
  </si>
  <si>
    <t>Total Expense</t>
  </si>
  <si>
    <t>Net Savings</t>
  </si>
  <si>
    <t>Savings %</t>
  </si>
  <si>
    <t>CATEGORY WISE</t>
  </si>
  <si>
    <t>COUNTS</t>
  </si>
  <si>
    <t>Total Transactions</t>
  </si>
  <si>
    <t>Income Count</t>
  </si>
  <si>
    <t>Expense Count</t>
  </si>
  <si>
    <t>AVERAGES</t>
  </si>
  <si>
    <t>Avg Income</t>
  </si>
  <si>
    <t>Avg Expense</t>
  </si>
  <si>
    <t>STATUS</t>
  </si>
  <si>
    <t>Savings Status</t>
  </si>
  <si>
    <t>Budget Health</t>
  </si>
  <si>
    <t>Alert</t>
  </si>
  <si>
    <t>Budget</t>
  </si>
  <si>
    <t>Actual</t>
  </si>
  <si>
    <t>Difference</t>
  </si>
  <si>
    <t>Status</t>
  </si>
  <si>
    <t>TOTAL</t>
  </si>
  <si>
    <t>Icon</t>
  </si>
  <si>
    <t xml:space="preserve">  Bills</t>
  </si>
  <si>
    <t>🍕</t>
  </si>
  <si>
    <t>🚗</t>
  </si>
  <si>
    <t>📱</t>
  </si>
  <si>
    <t>🛍️</t>
  </si>
  <si>
    <t>💊</t>
  </si>
  <si>
    <t>🎬</t>
  </si>
  <si>
    <t>💰</t>
  </si>
  <si>
    <t>SEARCH</t>
  </si>
  <si>
    <t>Category Name</t>
  </si>
  <si>
    <t>Budget Amount</t>
  </si>
  <si>
    <t>INDEX MATCH</t>
  </si>
  <si>
    <t>Find Month</t>
  </si>
  <si>
    <t>💰 Budget Tracker Dashboard 2024</t>
  </si>
  <si>
    <t>Row Labels</t>
  </si>
  <si>
    <t>Grand Total</t>
  </si>
  <si>
    <t>Sum of 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</si>
</sst>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[$-14009]yyyy/mm/dd;@"/>
    <numFmt numFmtId="171" formatCode="&quot;₹&quot;\ #,##0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169" fontId="1" fillId="2" borderId="0" xfId="0" applyNumberFormat="1" applyFont="1" applyFill="1"/>
    <xf numFmtId="169" fontId="0" fillId="0" borderId="0" xfId="0" applyNumberFormat="1"/>
    <xf numFmtId="171" fontId="1" fillId="2" borderId="0" xfId="0" applyNumberFormat="1" applyFont="1" applyFill="1"/>
    <xf numFmtId="171" fontId="0" fillId="0" borderId="0" xfId="0" applyNumberFormat="1"/>
    <xf numFmtId="0" fontId="1" fillId="4" borderId="0" xfId="0" applyFont="1" applyFill="1"/>
    <xf numFmtId="0" fontId="1" fillId="5" borderId="0" xfId="0" applyFont="1" applyFill="1"/>
    <xf numFmtId="17" fontId="0" fillId="0" borderId="0" xfId="0" applyNumberFormat="1"/>
    <xf numFmtId="0" fontId="3" fillId="3" borderId="0" xfId="0" applyFont="1" applyFill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9" tint="-0.249977111117893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249977111117893"/>
        </patternFill>
      </fill>
    </dxf>
    <dxf>
      <numFmt numFmtId="171" formatCode="&quot;₹&quot;\ #,##0"/>
    </dxf>
    <dxf>
      <numFmt numFmtId="169" formatCode="[$-14009]yyyy/mm/dd;@"/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[Budget_Tracker.xlsx] Pivot!PivotTable2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 Pivot'!$B$3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Pivot'!$A$4:$A$11</c:f>
              <c:strCache>
                <c:ptCount val="7"/>
                <c:pt idx="0">
                  <c:v>Bills</c:v>
                </c:pt>
                <c:pt idx="1">
                  <c:v>Entertainment</c:v>
                </c:pt>
                <c:pt idx="2">
                  <c:v>Food</c:v>
                </c:pt>
                <c:pt idx="3">
                  <c:v>Health</c:v>
                </c:pt>
                <c:pt idx="4">
                  <c:v>Savings</c:v>
                </c:pt>
                <c:pt idx="5">
                  <c:v>Shopping</c:v>
                </c:pt>
                <c:pt idx="6">
                  <c:v>Transport</c:v>
                </c:pt>
              </c:strCache>
            </c:strRef>
          </c:cat>
          <c:val>
            <c:numRef>
              <c:f>' Pivot'!$B$4:$B$11</c:f>
              <c:numCache>
                <c:formatCode>"₹"\ #,##0</c:formatCode>
                <c:ptCount val="7"/>
                <c:pt idx="0">
                  <c:v>3950</c:v>
                </c:pt>
                <c:pt idx="1">
                  <c:v>1598</c:v>
                </c:pt>
                <c:pt idx="2">
                  <c:v>19900</c:v>
                </c:pt>
                <c:pt idx="3">
                  <c:v>2350</c:v>
                </c:pt>
                <c:pt idx="4">
                  <c:v>8000</c:v>
                </c:pt>
                <c:pt idx="5">
                  <c:v>5999</c:v>
                </c:pt>
                <c:pt idx="6">
                  <c:v>5800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49-4398-8F32-17A028774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8301151"/>
        <c:axId val="948301631"/>
      </c:barChart>
      <c:catAx>
        <c:axId val="948301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301631"/>
        <c:crosses val="autoZero"/>
        <c:auto val="1"/>
        <c:lblAlgn val="ctr"/>
        <c:lblOffset val="100"/>
        <c:noMultiLvlLbl val="0"/>
      </c:catAx>
      <c:valAx>
        <c:axId val="948301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301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69850</xdr:colOff>
      <xdr:row>2</xdr:row>
      <xdr:rowOff>85725</xdr:rowOff>
    </xdr:from>
    <xdr:to>
      <xdr:col>9</xdr:col>
      <xdr:colOff>374650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2DA52E-D683-862A-5EEF-AF7DE4D2B5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rishti" refreshedDate="46200.787004050922" createdVersion="8" refreshedVersion="8" minRefreshableVersion="3" recordCount="34" xr:uid="{D5949AFE-8682-4DD7-912E-3BABE4B9C3B1}">
  <cacheSource type="worksheet">
    <worksheetSource ref="A1:G35" sheet="Transactions"/>
  </cacheSource>
  <cacheFields count="7">
    <cacheField name="Date" numFmtId="169">
      <sharedItems containsSemiMixedTypes="0" containsNonDate="0" containsDate="1" containsString="0" minDate="2024-01-01T00:00:00" maxDate="2024-04-01T00:00:00"/>
    </cacheField>
    <cacheField name="Category" numFmtId="0">
      <sharedItems count="8">
        <s v="Income"/>
        <s v="Food"/>
        <s v="Transport"/>
        <s v="Shopping"/>
        <s v="Bills"/>
        <s v="Entertainment"/>
        <s v="Health"/>
        <s v="Savings"/>
      </sharedItems>
    </cacheField>
    <cacheField name="Sub-Category" numFmtId="0">
      <sharedItems/>
    </cacheField>
    <cacheField name="Description" numFmtId="0">
      <sharedItems/>
    </cacheField>
    <cacheField name="    Type" numFmtId="0">
      <sharedItems count="2">
        <s v="Income"/>
        <s v="Expense"/>
      </sharedItems>
    </cacheField>
    <cacheField name=" Amount" numFmtId="171">
      <sharedItems containsSemiMixedTypes="0" containsString="0" containsNumber="1" containsInteger="1" minValue="299" maxValue="45000" count="22">
        <n v="45000"/>
        <n v="3500"/>
        <n v="2000"/>
        <n v="1200"/>
        <n v="1500"/>
        <n v="800"/>
        <n v="500"/>
        <n v="2800"/>
        <n v="600"/>
        <n v="499"/>
        <n v="350"/>
        <n v="999"/>
        <n v="2500"/>
        <n v="3200"/>
        <n v="750"/>
        <n v="900"/>
        <n v="8000"/>
        <n v="5000"/>
        <n v="4000"/>
        <n v="299"/>
        <n v="1800"/>
        <n v="3000"/>
      </sharedItems>
    </cacheField>
    <cacheField name="   Month" numFmtId="0">
      <sharedItems count="3">
        <s v="Jan-2024"/>
        <s v="Feb-2024"/>
        <s v="Mar-20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d v="2024-01-01T00:00:00"/>
    <x v="0"/>
    <s v="Salary"/>
    <s v="Monthly Salary"/>
    <x v="0"/>
    <x v="0"/>
    <x v="0"/>
  </r>
  <r>
    <d v="2024-01-01T00:00:00"/>
    <x v="1"/>
    <s v="Groceries"/>
    <s v="Big Bazaar"/>
    <x v="1"/>
    <x v="1"/>
    <x v="0"/>
  </r>
  <r>
    <d v="2024-01-02T00:00:00"/>
    <x v="2"/>
    <s v="Fuel"/>
    <s v="Petrol"/>
    <x v="1"/>
    <x v="2"/>
    <x v="0"/>
  </r>
  <r>
    <d v="2024-01-05T00:00:00"/>
    <x v="1"/>
    <s v="Restaurant"/>
    <s v="Dinner Out"/>
    <x v="1"/>
    <x v="3"/>
    <x v="0"/>
  </r>
  <r>
    <d v="2024-01-07T00:00:00"/>
    <x v="3"/>
    <s v="Clothes"/>
    <s v="New Shirt"/>
    <x v="1"/>
    <x v="4"/>
    <x v="0"/>
  </r>
  <r>
    <d v="2024-01-10T00:00:00"/>
    <x v="4"/>
    <s v="Electricity"/>
    <s v="Electric Bill"/>
    <x v="1"/>
    <x v="5"/>
    <x v="0"/>
  </r>
  <r>
    <d v="2024-01-12T00:00:00"/>
    <x v="4"/>
    <s v="Internet"/>
    <s v="WiFi Bill"/>
    <x v="1"/>
    <x v="6"/>
    <x v="0"/>
  </r>
  <r>
    <d v="2024-01-15T00:00:00"/>
    <x v="1"/>
    <s v="Groceries"/>
    <s v="Weekly Shopping"/>
    <x v="1"/>
    <x v="7"/>
    <x v="0"/>
  </r>
  <r>
    <d v="2024-01-18T00:00:00"/>
    <x v="2"/>
    <s v="Auto"/>
    <s v="Office Commute"/>
    <x v="1"/>
    <x v="8"/>
    <x v="0"/>
  </r>
  <r>
    <d v="2024-01-20T00:00:00"/>
    <x v="5"/>
    <s v="OTT"/>
    <s v="Netflix"/>
    <x v="1"/>
    <x v="9"/>
    <x v="0"/>
  </r>
  <r>
    <d v="2024-01-22T00:00:00"/>
    <x v="6"/>
    <s v="Medicine"/>
    <s v="Pharmacy"/>
    <x v="1"/>
    <x v="10"/>
    <x v="0"/>
  </r>
  <r>
    <d v="2024-01-25T00:00:00"/>
    <x v="3"/>
    <s v="Electronics"/>
    <s v="Earphones"/>
    <x v="1"/>
    <x v="11"/>
    <x v="0"/>
  </r>
  <r>
    <d v="2024-01-28T00:00:00"/>
    <x v="1"/>
    <s v="Restaurant"/>
    <s v="Birthday Dinner"/>
    <x v="1"/>
    <x v="12"/>
    <x v="0"/>
  </r>
  <r>
    <d v="2024-02-01T00:00:00"/>
    <x v="0"/>
    <s v="Salary"/>
    <s v="Monthly Salary"/>
    <x v="0"/>
    <x v="0"/>
    <x v="1"/>
  </r>
  <r>
    <d v="2024-02-02T00:00:00"/>
    <x v="1"/>
    <s v="Groceries"/>
    <s v="Big Bazaar"/>
    <x v="1"/>
    <x v="13"/>
    <x v="1"/>
  </r>
  <r>
    <d v="2024-02-05T00:00:00"/>
    <x v="2"/>
    <s v="Fuel"/>
    <s v="Petrol"/>
    <x v="1"/>
    <x v="2"/>
    <x v="1"/>
  </r>
  <r>
    <d v="2024-02-08T00:00:00"/>
    <x v="4"/>
    <s v="Electricity"/>
    <s v="Electric Bill"/>
    <x v="1"/>
    <x v="14"/>
    <x v="1"/>
  </r>
  <r>
    <d v="2024-02-10T00:00:00"/>
    <x v="3"/>
    <s v="Clothes"/>
    <s v="Jeans"/>
    <x v="1"/>
    <x v="2"/>
    <x v="1"/>
  </r>
  <r>
    <d v="2024-02-14T00:00:00"/>
    <x v="5"/>
    <s v="Movies"/>
    <s v="Valentine Movie"/>
    <x v="1"/>
    <x v="5"/>
    <x v="1"/>
  </r>
  <r>
    <d v="2024-02-18T00:00:00"/>
    <x v="1"/>
    <s v="Restaurant"/>
    <s v="Lunch Out"/>
    <x v="1"/>
    <x v="15"/>
    <x v="1"/>
  </r>
  <r>
    <d v="2024-02-20T00:00:00"/>
    <x v="6"/>
    <s v="Gym"/>
    <s v="Gym Membership"/>
    <x v="1"/>
    <x v="4"/>
    <x v="1"/>
  </r>
  <r>
    <d v="2024-02-22T00:00:00"/>
    <x v="4"/>
    <s v="Internet"/>
    <s v="WiFi Bill"/>
    <x v="1"/>
    <x v="6"/>
    <x v="1"/>
  </r>
  <r>
    <d v="2024-02-25T00:00:00"/>
    <x v="0"/>
    <s v="Freelance"/>
    <s v="Web Project"/>
    <x v="0"/>
    <x v="16"/>
    <x v="1"/>
  </r>
  <r>
    <d v="2024-02-28T00:00:00"/>
    <x v="7"/>
    <s v="Investment"/>
    <s v="Mutual Fund"/>
    <x v="1"/>
    <x v="17"/>
    <x v="1"/>
  </r>
  <r>
    <d v="2024-03-01T00:00:00"/>
    <x v="0"/>
    <s v="Salary"/>
    <s v="Monthly Salary"/>
    <x v="0"/>
    <x v="0"/>
    <x v="2"/>
  </r>
  <r>
    <d v="2024-03-03T00:00:00"/>
    <x v="1"/>
    <s v="Groceries"/>
    <s v="Monthly Shopping"/>
    <x v="1"/>
    <x v="18"/>
    <x v="2"/>
  </r>
  <r>
    <d v="2024-03-07T00:00:00"/>
    <x v="2"/>
    <s v="Cab"/>
    <s v="Office Cab"/>
    <x v="1"/>
    <x v="3"/>
    <x v="2"/>
  </r>
  <r>
    <d v="2024-03-10T00:00:00"/>
    <x v="4"/>
    <s v="Electricity"/>
    <s v="Electric Bill"/>
    <x v="1"/>
    <x v="15"/>
    <x v="2"/>
  </r>
  <r>
    <d v="2024-03-15T00:00:00"/>
    <x v="3"/>
    <s v="Books"/>
    <s v="Study Books"/>
    <x v="1"/>
    <x v="4"/>
    <x v="2"/>
  </r>
  <r>
    <d v="2024-03-20T00:00:00"/>
    <x v="6"/>
    <s v="Doctor"/>
    <s v="Checkup"/>
    <x v="1"/>
    <x v="6"/>
    <x v="2"/>
  </r>
  <r>
    <d v="2024-03-22T00:00:00"/>
    <x v="5"/>
    <s v="OTT"/>
    <s v="Amazon Prime"/>
    <x v="1"/>
    <x v="19"/>
    <x v="2"/>
  </r>
  <r>
    <d v="2024-03-25T00:00:00"/>
    <x v="1"/>
    <s v="Restaurant"/>
    <s v="Team Lunch"/>
    <x v="1"/>
    <x v="20"/>
    <x v="2"/>
  </r>
  <r>
    <d v="2024-03-28T00:00:00"/>
    <x v="7"/>
    <s v="Investment"/>
    <s v="SIP"/>
    <x v="1"/>
    <x v="21"/>
    <x v="2"/>
  </r>
  <r>
    <d v="2024-03-31T00:00:00"/>
    <x v="4"/>
    <s v="Internet"/>
    <s v="WiFi Bill"/>
    <x v="1"/>
    <x v="6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4C27F2-8ED7-4F46-8E50-84CAF02C09A9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 rowPageCount="1" colPageCount="1"/>
  <pivotFields count="7">
    <pivotField numFmtId="169" showAll="0"/>
    <pivotField axis="axisRow" showAll="0">
      <items count="9">
        <item x="4"/>
        <item x="5"/>
        <item x="1"/>
        <item x="6"/>
        <item x="0"/>
        <item x="7"/>
        <item x="3"/>
        <item x="2"/>
        <item t="default"/>
      </items>
    </pivotField>
    <pivotField showAll="0"/>
    <pivotField showAll="0"/>
    <pivotField axis="axisPage" showAll="0">
      <items count="3">
        <item x="1"/>
        <item x="0"/>
        <item t="default"/>
      </items>
    </pivotField>
    <pivotField dataField="1" numFmtId="171"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5"/>
    </i>
    <i>
      <x v="6"/>
    </i>
    <i>
      <x v="7"/>
    </i>
    <i t="grand">
      <x/>
    </i>
  </rowItems>
  <colItems count="1">
    <i/>
  </colItems>
  <pageFields count="1">
    <pageField fld="4" item="0" hier="-1"/>
  </pageFields>
  <dataFields count="1">
    <dataField name="Sum of  Amount" fld="5" baseField="0" baseItem="0" numFmtId="17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1DF38C-0E6D-4EBB-98E9-434F52FD6986}" name="Transactions" displayName="Transactions" ref="A1:G35" totalsRowShown="0" headerRowDxfId="1">
  <autoFilter ref="A1:G35" xr:uid="{D21DF38C-0E6D-4EBB-98E9-434F52FD6986}"/>
  <tableColumns count="7">
    <tableColumn id="1" xr3:uid="{A5C665EA-ACA1-427C-AB8F-20B99CFC8A36}" name="Date" dataDxfId="3"/>
    <tableColumn id="2" xr3:uid="{22DA67CE-0672-4CF7-A952-87A5CE58CCD5}" name="Category"/>
    <tableColumn id="3" xr3:uid="{976AC778-10D3-43C6-AC23-42C4CE28E157}" name="Sub-Category"/>
    <tableColumn id="4" xr3:uid="{6DA94F9E-930C-4C77-9C78-58DA7A29A67A}" name="Description"/>
    <tableColumn id="5" xr3:uid="{DA5EC94D-8271-47F5-8634-0A5E083D8771}" name="    Type"/>
    <tableColumn id="6" xr3:uid="{9594BBAC-8301-401D-865A-F2C73FBD9ACA}" name=" Amount" dataDxfId="2"/>
    <tableColumn id="7" xr3:uid="{C0672F1A-424C-4863-B929-C1B904490F41}" name="   Month">
      <calculatedColumnFormula>TEXT(A2,"MMM-YYYY")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1C8DB8-7292-46A4-9D99-464E7BC83869}" name="Budget" displayName="Budget" ref="A1:E9" totalsRowShown="0" headerRowDxfId="0">
  <autoFilter ref="A1:E9" xr:uid="{B11C8DB8-7292-46A4-9D99-464E7BC83869}"/>
  <tableColumns count="5">
    <tableColumn id="1" xr3:uid="{58B76137-3BD8-47B0-95A3-0C918DCEE550}" name="Category"/>
    <tableColumn id="2" xr3:uid="{C5A31033-0707-4DB5-81C8-72A046D4DCD6}" name="Budget"/>
    <tableColumn id="3" xr3:uid="{9EED5CA5-C83B-45A2-9C67-30D360E4D10A}" name="Actual"/>
    <tableColumn id="4" xr3:uid="{163A53A4-5EEA-442D-A8F8-3F3C69B40C55}" name="Difference"/>
    <tableColumn id="5" xr3:uid="{59A3944D-742F-481C-A476-1F441272FBEB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27A9D-6D6D-4BD4-8B95-3B90132C05B2}">
  <dimension ref="A1"/>
  <sheetViews>
    <sheetView workbookViewId="0">
      <selection activeCell="A3" sqref="A3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90A6B-99FD-4F66-8A48-B2EF46DBF406}">
  <dimension ref="A1:B11"/>
  <sheetViews>
    <sheetView workbookViewId="0">
      <selection activeCell="K13" sqref="K13"/>
    </sheetView>
  </sheetViews>
  <sheetFormatPr defaultRowHeight="14.5" x14ac:dyDescent="0.35"/>
  <cols>
    <col min="1" max="1" width="12.453125" bestFit="1" customWidth="1"/>
    <col min="2" max="2" width="14" bestFit="1" customWidth="1"/>
  </cols>
  <sheetData>
    <row r="1" spans="1:2" x14ac:dyDescent="0.35">
      <c r="A1" s="10" t="s">
        <v>5</v>
      </c>
      <c r="B1" t="s">
        <v>14</v>
      </c>
    </row>
    <row r="3" spans="1:2" x14ac:dyDescent="0.35">
      <c r="A3" s="10" t="s">
        <v>98</v>
      </c>
      <c r="B3" t="s">
        <v>100</v>
      </c>
    </row>
    <row r="4" spans="1:2" x14ac:dyDescent="0.35">
      <c r="A4" s="11" t="s">
        <v>23</v>
      </c>
      <c r="B4" s="5">
        <v>3950</v>
      </c>
    </row>
    <row r="5" spans="1:2" x14ac:dyDescent="0.35">
      <c r="A5" s="11" t="s">
        <v>31</v>
      </c>
      <c r="B5" s="5">
        <v>1598</v>
      </c>
    </row>
    <row r="6" spans="1:2" x14ac:dyDescent="0.35">
      <c r="A6" s="11" t="s">
        <v>11</v>
      </c>
      <c r="B6" s="5">
        <v>19900</v>
      </c>
    </row>
    <row r="7" spans="1:2" x14ac:dyDescent="0.35">
      <c r="A7" s="11" t="s">
        <v>34</v>
      </c>
      <c r="B7" s="5">
        <v>2350</v>
      </c>
    </row>
    <row r="8" spans="1:2" x14ac:dyDescent="0.35">
      <c r="A8" s="11" t="s">
        <v>48</v>
      </c>
      <c r="B8" s="5">
        <v>8000</v>
      </c>
    </row>
    <row r="9" spans="1:2" x14ac:dyDescent="0.35">
      <c r="A9" s="11" t="s">
        <v>20</v>
      </c>
      <c r="B9" s="5">
        <v>5999</v>
      </c>
    </row>
    <row r="10" spans="1:2" x14ac:dyDescent="0.35">
      <c r="A10" s="11" t="s">
        <v>15</v>
      </c>
      <c r="B10" s="5">
        <v>5800</v>
      </c>
    </row>
    <row r="11" spans="1:2" x14ac:dyDescent="0.35">
      <c r="A11" s="11" t="s">
        <v>99</v>
      </c>
      <c r="B11" s="5">
        <v>47597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C286F-B8D5-4154-A365-037FE50E41A5}">
  <dimension ref="A1:G35"/>
  <sheetViews>
    <sheetView workbookViewId="0">
      <pane ySplit="1" topLeftCell="A18" activePane="bottomLeft" state="frozen"/>
      <selection pane="bottomLeft" sqref="A1:G35"/>
    </sheetView>
  </sheetViews>
  <sheetFormatPr defaultRowHeight="14.5" x14ac:dyDescent="0.35"/>
  <cols>
    <col min="1" max="1" width="10.81640625" style="3" customWidth="1"/>
    <col min="2" max="2" width="10.1796875" customWidth="1"/>
    <col min="3" max="3" width="14.08984375" customWidth="1"/>
    <col min="4" max="4" width="12.54296875" customWidth="1"/>
    <col min="6" max="6" width="10.26953125" style="5" bestFit="1" customWidth="1"/>
    <col min="7" max="7" width="9.1796875" customWidth="1"/>
  </cols>
  <sheetData>
    <row r="1" spans="1:7" s="1" customFormat="1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4" t="s">
        <v>6</v>
      </c>
      <c r="G1" s="1" t="s">
        <v>7</v>
      </c>
    </row>
    <row r="2" spans="1:7" x14ac:dyDescent="0.35">
      <c r="A2" s="3">
        <v>45292</v>
      </c>
      <c r="B2" t="s">
        <v>8</v>
      </c>
      <c r="C2" t="s">
        <v>9</v>
      </c>
      <c r="D2" t="s">
        <v>10</v>
      </c>
      <c r="E2" t="s">
        <v>8</v>
      </c>
      <c r="F2" s="5">
        <v>45000</v>
      </c>
      <c r="G2" t="str">
        <f>TEXT(A2,"MMM-YYYY")</f>
        <v>Jan-2024</v>
      </c>
    </row>
    <row r="3" spans="1:7" x14ac:dyDescent="0.35">
      <c r="A3" s="3">
        <v>45292</v>
      </c>
      <c r="B3" t="s">
        <v>11</v>
      </c>
      <c r="C3" t="s">
        <v>12</v>
      </c>
      <c r="D3" t="s">
        <v>13</v>
      </c>
      <c r="E3" t="s">
        <v>14</v>
      </c>
      <c r="F3" s="5">
        <v>3500</v>
      </c>
      <c r="G3" t="str">
        <f t="shared" ref="G3:G35" si="0">TEXT(A3,"MMM-YYYY")</f>
        <v>Jan-2024</v>
      </c>
    </row>
    <row r="4" spans="1:7" x14ac:dyDescent="0.35">
      <c r="A4" s="3">
        <v>45293</v>
      </c>
      <c r="B4" t="s">
        <v>15</v>
      </c>
      <c r="C4" t="s">
        <v>16</v>
      </c>
      <c r="D4" t="s">
        <v>17</v>
      </c>
      <c r="E4" t="s">
        <v>14</v>
      </c>
      <c r="F4" s="5">
        <v>2000</v>
      </c>
      <c r="G4" t="str">
        <f t="shared" si="0"/>
        <v>Jan-2024</v>
      </c>
    </row>
    <row r="5" spans="1:7" x14ac:dyDescent="0.35">
      <c r="A5" s="3">
        <v>45296</v>
      </c>
      <c r="B5" t="s">
        <v>11</v>
      </c>
      <c r="C5" t="s">
        <v>18</v>
      </c>
      <c r="D5" t="s">
        <v>19</v>
      </c>
      <c r="E5" t="s">
        <v>14</v>
      </c>
      <c r="F5" s="5">
        <v>1200</v>
      </c>
      <c r="G5" t="str">
        <f t="shared" si="0"/>
        <v>Jan-2024</v>
      </c>
    </row>
    <row r="6" spans="1:7" x14ac:dyDescent="0.35">
      <c r="A6" s="3">
        <v>45298</v>
      </c>
      <c r="B6" t="s">
        <v>20</v>
      </c>
      <c r="C6" t="s">
        <v>21</v>
      </c>
      <c r="D6" t="s">
        <v>22</v>
      </c>
      <c r="E6" t="s">
        <v>14</v>
      </c>
      <c r="F6" s="5">
        <v>1500</v>
      </c>
      <c r="G6" t="str">
        <f t="shared" si="0"/>
        <v>Jan-2024</v>
      </c>
    </row>
    <row r="7" spans="1:7" x14ac:dyDescent="0.35">
      <c r="A7" s="3">
        <v>45301</v>
      </c>
      <c r="B7" t="s">
        <v>23</v>
      </c>
      <c r="C7" t="s">
        <v>24</v>
      </c>
      <c r="D7" t="s">
        <v>25</v>
      </c>
      <c r="E7" t="s">
        <v>14</v>
      </c>
      <c r="F7" s="5">
        <v>800</v>
      </c>
      <c r="G7" t="str">
        <f t="shared" si="0"/>
        <v>Jan-2024</v>
      </c>
    </row>
    <row r="8" spans="1:7" x14ac:dyDescent="0.35">
      <c r="A8" s="3">
        <v>45303</v>
      </c>
      <c r="B8" t="s">
        <v>23</v>
      </c>
      <c r="C8" t="s">
        <v>26</v>
      </c>
      <c r="D8" t="s">
        <v>27</v>
      </c>
      <c r="E8" t="s">
        <v>14</v>
      </c>
      <c r="F8" s="5">
        <v>500</v>
      </c>
      <c r="G8" t="str">
        <f t="shared" si="0"/>
        <v>Jan-2024</v>
      </c>
    </row>
    <row r="9" spans="1:7" x14ac:dyDescent="0.35">
      <c r="A9" s="3">
        <v>45306</v>
      </c>
      <c r="B9" t="s">
        <v>11</v>
      </c>
      <c r="C9" t="s">
        <v>12</v>
      </c>
      <c r="D9" t="s">
        <v>28</v>
      </c>
      <c r="E9" t="s">
        <v>14</v>
      </c>
      <c r="F9" s="5">
        <v>2800</v>
      </c>
      <c r="G9" t="str">
        <f t="shared" si="0"/>
        <v>Jan-2024</v>
      </c>
    </row>
    <row r="10" spans="1:7" x14ac:dyDescent="0.35">
      <c r="A10" s="3">
        <v>45309</v>
      </c>
      <c r="B10" t="s">
        <v>15</v>
      </c>
      <c r="C10" t="s">
        <v>29</v>
      </c>
      <c r="D10" t="s">
        <v>30</v>
      </c>
      <c r="E10" t="s">
        <v>14</v>
      </c>
      <c r="F10" s="5">
        <v>600</v>
      </c>
      <c r="G10" t="str">
        <f t="shared" si="0"/>
        <v>Jan-2024</v>
      </c>
    </row>
    <row r="11" spans="1:7" x14ac:dyDescent="0.35">
      <c r="A11" s="3">
        <v>45311</v>
      </c>
      <c r="B11" t="s">
        <v>31</v>
      </c>
      <c r="C11" t="s">
        <v>32</v>
      </c>
      <c r="D11" t="s">
        <v>33</v>
      </c>
      <c r="E11" t="s">
        <v>14</v>
      </c>
      <c r="F11" s="5">
        <v>499</v>
      </c>
      <c r="G11" t="str">
        <f t="shared" si="0"/>
        <v>Jan-2024</v>
      </c>
    </row>
    <row r="12" spans="1:7" x14ac:dyDescent="0.35">
      <c r="A12" s="3">
        <v>45313</v>
      </c>
      <c r="B12" t="s">
        <v>34</v>
      </c>
      <c r="C12" t="s">
        <v>35</v>
      </c>
      <c r="D12" t="s">
        <v>36</v>
      </c>
      <c r="E12" t="s">
        <v>14</v>
      </c>
      <c r="F12" s="5">
        <v>350</v>
      </c>
      <c r="G12" t="str">
        <f t="shared" si="0"/>
        <v>Jan-2024</v>
      </c>
    </row>
    <row r="13" spans="1:7" x14ac:dyDescent="0.35">
      <c r="A13" s="3">
        <v>45316</v>
      </c>
      <c r="B13" t="s">
        <v>20</v>
      </c>
      <c r="C13" t="s">
        <v>37</v>
      </c>
      <c r="D13" t="s">
        <v>38</v>
      </c>
      <c r="E13" t="s">
        <v>14</v>
      </c>
      <c r="F13" s="5">
        <v>999</v>
      </c>
      <c r="G13" t="str">
        <f t="shared" si="0"/>
        <v>Jan-2024</v>
      </c>
    </row>
    <row r="14" spans="1:7" x14ac:dyDescent="0.35">
      <c r="A14" s="3">
        <v>45319</v>
      </c>
      <c r="B14" t="s">
        <v>11</v>
      </c>
      <c r="C14" t="s">
        <v>18</v>
      </c>
      <c r="D14" t="s">
        <v>39</v>
      </c>
      <c r="E14" t="s">
        <v>14</v>
      </c>
      <c r="F14" s="5">
        <v>2500</v>
      </c>
      <c r="G14" t="str">
        <f t="shared" si="0"/>
        <v>Jan-2024</v>
      </c>
    </row>
    <row r="15" spans="1:7" x14ac:dyDescent="0.35">
      <c r="A15" s="3">
        <v>45323</v>
      </c>
      <c r="B15" t="s">
        <v>8</v>
      </c>
      <c r="C15" t="s">
        <v>9</v>
      </c>
      <c r="D15" t="s">
        <v>10</v>
      </c>
      <c r="E15" t="s">
        <v>8</v>
      </c>
      <c r="F15" s="5">
        <v>45000</v>
      </c>
      <c r="G15" t="str">
        <f t="shared" si="0"/>
        <v>Feb-2024</v>
      </c>
    </row>
    <row r="16" spans="1:7" x14ac:dyDescent="0.35">
      <c r="A16" s="3">
        <v>45324</v>
      </c>
      <c r="B16" t="s">
        <v>11</v>
      </c>
      <c r="C16" t="s">
        <v>12</v>
      </c>
      <c r="D16" t="s">
        <v>13</v>
      </c>
      <c r="E16" t="s">
        <v>14</v>
      </c>
      <c r="F16" s="5">
        <v>3200</v>
      </c>
      <c r="G16" t="str">
        <f t="shared" si="0"/>
        <v>Feb-2024</v>
      </c>
    </row>
    <row r="17" spans="1:7" x14ac:dyDescent="0.35">
      <c r="A17" s="3">
        <v>45327</v>
      </c>
      <c r="B17" t="s">
        <v>15</v>
      </c>
      <c r="C17" t="s">
        <v>16</v>
      </c>
      <c r="D17" t="s">
        <v>17</v>
      </c>
      <c r="E17" t="s">
        <v>14</v>
      </c>
      <c r="F17" s="5">
        <v>2000</v>
      </c>
      <c r="G17" t="str">
        <f t="shared" si="0"/>
        <v>Feb-2024</v>
      </c>
    </row>
    <row r="18" spans="1:7" x14ac:dyDescent="0.35">
      <c r="A18" s="3">
        <v>45330</v>
      </c>
      <c r="B18" t="s">
        <v>23</v>
      </c>
      <c r="C18" t="s">
        <v>24</v>
      </c>
      <c r="D18" t="s">
        <v>25</v>
      </c>
      <c r="E18" t="s">
        <v>14</v>
      </c>
      <c r="F18" s="5">
        <v>750</v>
      </c>
      <c r="G18" t="str">
        <f t="shared" si="0"/>
        <v>Feb-2024</v>
      </c>
    </row>
    <row r="19" spans="1:7" x14ac:dyDescent="0.35">
      <c r="A19" s="3">
        <v>45332</v>
      </c>
      <c r="B19" t="s">
        <v>20</v>
      </c>
      <c r="C19" t="s">
        <v>21</v>
      </c>
      <c r="D19" t="s">
        <v>40</v>
      </c>
      <c r="E19" t="s">
        <v>14</v>
      </c>
      <c r="F19" s="5">
        <v>2000</v>
      </c>
      <c r="G19" t="str">
        <f t="shared" si="0"/>
        <v>Feb-2024</v>
      </c>
    </row>
    <row r="20" spans="1:7" x14ac:dyDescent="0.35">
      <c r="A20" s="3">
        <v>45336</v>
      </c>
      <c r="B20" t="s">
        <v>31</v>
      </c>
      <c r="C20" t="s">
        <v>41</v>
      </c>
      <c r="D20" t="s">
        <v>42</v>
      </c>
      <c r="E20" t="s">
        <v>14</v>
      </c>
      <c r="F20" s="5">
        <v>800</v>
      </c>
      <c r="G20" t="str">
        <f t="shared" si="0"/>
        <v>Feb-2024</v>
      </c>
    </row>
    <row r="21" spans="1:7" x14ac:dyDescent="0.35">
      <c r="A21" s="3">
        <v>45340</v>
      </c>
      <c r="B21" t="s">
        <v>11</v>
      </c>
      <c r="C21" t="s">
        <v>18</v>
      </c>
      <c r="D21" t="s">
        <v>43</v>
      </c>
      <c r="E21" t="s">
        <v>14</v>
      </c>
      <c r="F21" s="5">
        <v>900</v>
      </c>
      <c r="G21" t="str">
        <f t="shared" si="0"/>
        <v>Feb-2024</v>
      </c>
    </row>
    <row r="22" spans="1:7" x14ac:dyDescent="0.35">
      <c r="A22" s="3">
        <v>45342</v>
      </c>
      <c r="B22" t="s">
        <v>34</v>
      </c>
      <c r="C22" t="s">
        <v>44</v>
      </c>
      <c r="D22" t="s">
        <v>45</v>
      </c>
      <c r="E22" t="s">
        <v>14</v>
      </c>
      <c r="F22" s="5">
        <v>1500</v>
      </c>
      <c r="G22" t="str">
        <f t="shared" si="0"/>
        <v>Feb-2024</v>
      </c>
    </row>
    <row r="23" spans="1:7" x14ac:dyDescent="0.35">
      <c r="A23" s="3">
        <v>45344</v>
      </c>
      <c r="B23" t="s">
        <v>23</v>
      </c>
      <c r="C23" t="s">
        <v>26</v>
      </c>
      <c r="D23" t="s">
        <v>27</v>
      </c>
      <c r="E23" t="s">
        <v>14</v>
      </c>
      <c r="F23" s="5">
        <v>500</v>
      </c>
      <c r="G23" t="str">
        <f t="shared" si="0"/>
        <v>Feb-2024</v>
      </c>
    </row>
    <row r="24" spans="1:7" x14ac:dyDescent="0.35">
      <c r="A24" s="3">
        <v>45347</v>
      </c>
      <c r="B24" t="s">
        <v>8</v>
      </c>
      <c r="C24" t="s">
        <v>46</v>
      </c>
      <c r="D24" t="s">
        <v>47</v>
      </c>
      <c r="E24" t="s">
        <v>8</v>
      </c>
      <c r="F24" s="5">
        <v>8000</v>
      </c>
      <c r="G24" t="str">
        <f t="shared" si="0"/>
        <v>Feb-2024</v>
      </c>
    </row>
    <row r="25" spans="1:7" x14ac:dyDescent="0.35">
      <c r="A25" s="3">
        <v>45350</v>
      </c>
      <c r="B25" t="s">
        <v>48</v>
      </c>
      <c r="C25" t="s">
        <v>49</v>
      </c>
      <c r="D25" t="s">
        <v>50</v>
      </c>
      <c r="E25" t="s">
        <v>14</v>
      </c>
      <c r="F25" s="5">
        <v>5000</v>
      </c>
      <c r="G25" t="str">
        <f t="shared" si="0"/>
        <v>Feb-2024</v>
      </c>
    </row>
    <row r="26" spans="1:7" x14ac:dyDescent="0.35">
      <c r="A26" s="3">
        <v>45352</v>
      </c>
      <c r="B26" t="s">
        <v>8</v>
      </c>
      <c r="C26" t="s">
        <v>9</v>
      </c>
      <c r="D26" t="s">
        <v>10</v>
      </c>
      <c r="E26" t="s">
        <v>8</v>
      </c>
      <c r="F26" s="5">
        <v>45000</v>
      </c>
      <c r="G26" t="str">
        <f t="shared" si="0"/>
        <v>Mar-2024</v>
      </c>
    </row>
    <row r="27" spans="1:7" x14ac:dyDescent="0.35">
      <c r="A27" s="3">
        <v>45354</v>
      </c>
      <c r="B27" t="s">
        <v>11</v>
      </c>
      <c r="C27" t="s">
        <v>12</v>
      </c>
      <c r="D27" t="s">
        <v>51</v>
      </c>
      <c r="E27" t="s">
        <v>14</v>
      </c>
      <c r="F27" s="5">
        <v>4000</v>
      </c>
      <c r="G27" t="str">
        <f t="shared" si="0"/>
        <v>Mar-2024</v>
      </c>
    </row>
    <row r="28" spans="1:7" x14ac:dyDescent="0.35">
      <c r="A28" s="3">
        <v>45358</v>
      </c>
      <c r="B28" t="s">
        <v>15</v>
      </c>
      <c r="C28" t="s">
        <v>52</v>
      </c>
      <c r="D28" t="s">
        <v>53</v>
      </c>
      <c r="E28" t="s">
        <v>14</v>
      </c>
      <c r="F28" s="5">
        <v>1200</v>
      </c>
      <c r="G28" t="str">
        <f t="shared" si="0"/>
        <v>Mar-2024</v>
      </c>
    </row>
    <row r="29" spans="1:7" x14ac:dyDescent="0.35">
      <c r="A29" s="3">
        <v>45361</v>
      </c>
      <c r="B29" t="s">
        <v>23</v>
      </c>
      <c r="C29" t="s">
        <v>24</v>
      </c>
      <c r="D29" t="s">
        <v>25</v>
      </c>
      <c r="E29" t="s">
        <v>14</v>
      </c>
      <c r="F29" s="5">
        <v>900</v>
      </c>
      <c r="G29" t="str">
        <f t="shared" si="0"/>
        <v>Mar-2024</v>
      </c>
    </row>
    <row r="30" spans="1:7" x14ac:dyDescent="0.35">
      <c r="A30" s="3">
        <v>45366</v>
      </c>
      <c r="B30" t="s">
        <v>20</v>
      </c>
      <c r="C30" t="s">
        <v>54</v>
      </c>
      <c r="D30" t="s">
        <v>55</v>
      </c>
      <c r="E30" t="s">
        <v>14</v>
      </c>
      <c r="F30" s="5">
        <v>1500</v>
      </c>
      <c r="G30" t="str">
        <f t="shared" si="0"/>
        <v>Mar-2024</v>
      </c>
    </row>
    <row r="31" spans="1:7" x14ac:dyDescent="0.35">
      <c r="A31" s="3">
        <v>45371</v>
      </c>
      <c r="B31" t="s">
        <v>34</v>
      </c>
      <c r="C31" t="s">
        <v>56</v>
      </c>
      <c r="D31" t="s">
        <v>57</v>
      </c>
      <c r="E31" t="s">
        <v>14</v>
      </c>
      <c r="F31" s="5">
        <v>500</v>
      </c>
      <c r="G31" t="str">
        <f t="shared" si="0"/>
        <v>Mar-2024</v>
      </c>
    </row>
    <row r="32" spans="1:7" x14ac:dyDescent="0.35">
      <c r="A32" s="3">
        <v>45373</v>
      </c>
      <c r="B32" t="s">
        <v>31</v>
      </c>
      <c r="C32" t="s">
        <v>32</v>
      </c>
      <c r="D32" t="s">
        <v>58</v>
      </c>
      <c r="E32" t="s">
        <v>14</v>
      </c>
      <c r="F32" s="5">
        <v>299</v>
      </c>
      <c r="G32" t="str">
        <f t="shared" si="0"/>
        <v>Mar-2024</v>
      </c>
    </row>
    <row r="33" spans="1:7" x14ac:dyDescent="0.35">
      <c r="A33" s="3">
        <v>45376</v>
      </c>
      <c r="B33" t="s">
        <v>11</v>
      </c>
      <c r="C33" t="s">
        <v>18</v>
      </c>
      <c r="D33" t="s">
        <v>59</v>
      </c>
      <c r="E33" t="s">
        <v>14</v>
      </c>
      <c r="F33" s="5">
        <v>1800</v>
      </c>
      <c r="G33" t="str">
        <f t="shared" si="0"/>
        <v>Mar-2024</v>
      </c>
    </row>
    <row r="34" spans="1:7" x14ac:dyDescent="0.35">
      <c r="A34" s="3">
        <v>45379</v>
      </c>
      <c r="B34" t="s">
        <v>48</v>
      </c>
      <c r="C34" t="s">
        <v>49</v>
      </c>
      <c r="D34" t="s">
        <v>60</v>
      </c>
      <c r="E34" t="s">
        <v>14</v>
      </c>
      <c r="F34" s="5">
        <v>3000</v>
      </c>
      <c r="G34" t="str">
        <f t="shared" si="0"/>
        <v>Mar-2024</v>
      </c>
    </row>
    <row r="35" spans="1:7" x14ac:dyDescent="0.35">
      <c r="A35" s="3">
        <v>45382</v>
      </c>
      <c r="B35" t="s">
        <v>23</v>
      </c>
      <c r="C35" t="s">
        <v>26</v>
      </c>
      <c r="D35" t="s">
        <v>27</v>
      </c>
      <c r="E35" t="s">
        <v>14</v>
      </c>
      <c r="F35" s="5">
        <v>500</v>
      </c>
      <c r="G35" t="str">
        <f t="shared" si="0"/>
        <v>Mar-2024</v>
      </c>
    </row>
  </sheetData>
  <dataValidations count="2">
    <dataValidation type="list" allowBlank="1" showInputMessage="1" showErrorMessage="1" sqref="E1:E1048576" xr:uid="{6E73045E-ED1A-48F0-8696-517824D7EC2E}">
      <formula1>"Income,Expense"</formula1>
    </dataValidation>
    <dataValidation type="list" allowBlank="1" showInputMessage="1" showErrorMessage="1" sqref="B1:B1048576" xr:uid="{B8BD9856-B4CC-412D-92A0-526D3A577C75}">
      <formula1>"Food,Transport,Bills,Shopping,Health,Entertainment,Savings,Income"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B2B01-3787-487B-A91C-55A1A48557AA}">
  <dimension ref="A1:B29"/>
  <sheetViews>
    <sheetView topLeftCell="A14" workbookViewId="0">
      <selection activeCell="D28" sqref="D28"/>
    </sheetView>
  </sheetViews>
  <sheetFormatPr defaultRowHeight="14.5" x14ac:dyDescent="0.35"/>
  <cols>
    <col min="1" max="1" width="16.7265625" customWidth="1"/>
  </cols>
  <sheetData>
    <row r="1" spans="1:2" x14ac:dyDescent="0.35">
      <c r="A1" t="s">
        <v>61</v>
      </c>
    </row>
    <row r="3" spans="1:2" x14ac:dyDescent="0.35">
      <c r="A3" t="s">
        <v>62</v>
      </c>
      <c r="B3">
        <f>SUMIF(Transactions!E:E,"Income",Transactions!F:F)</f>
        <v>143000</v>
      </c>
    </row>
    <row r="4" spans="1:2" x14ac:dyDescent="0.35">
      <c r="A4" t="s">
        <v>63</v>
      </c>
      <c r="B4">
        <f>SUMIF(Transactions!E:E,"Expense",Transactions!F:F)</f>
        <v>47597</v>
      </c>
    </row>
    <row r="5" spans="1:2" x14ac:dyDescent="0.35">
      <c r="A5" t="s">
        <v>64</v>
      </c>
      <c r="B5">
        <f>B3-B4</f>
        <v>95403</v>
      </c>
    </row>
    <row r="6" spans="1:2" x14ac:dyDescent="0.35">
      <c r="A6" t="s">
        <v>65</v>
      </c>
      <c r="B6">
        <f>B5/B3*100</f>
        <v>66.715384615384622</v>
      </c>
    </row>
    <row r="8" spans="1:2" x14ac:dyDescent="0.35">
      <c r="A8" t="s">
        <v>66</v>
      </c>
    </row>
    <row r="9" spans="1:2" x14ac:dyDescent="0.35">
      <c r="A9" t="s">
        <v>11</v>
      </c>
      <c r="B9">
        <f>SUMIF(Transactions!B:B,"Food",Transactions!F:F)</f>
        <v>19900</v>
      </c>
    </row>
    <row r="10" spans="1:2" x14ac:dyDescent="0.35">
      <c r="A10" t="s">
        <v>15</v>
      </c>
      <c r="B10">
        <f>SUMIF(Transactions!B:B,"Transport",Transactions!F:F)</f>
        <v>5800</v>
      </c>
    </row>
    <row r="11" spans="1:2" x14ac:dyDescent="0.35">
      <c r="A11" t="s">
        <v>23</v>
      </c>
      <c r="B11">
        <f>SUMIF(Transactions!B:B,"Bills",Transactions!F:F)</f>
        <v>3950</v>
      </c>
    </row>
    <row r="12" spans="1:2" x14ac:dyDescent="0.35">
      <c r="A12" t="s">
        <v>20</v>
      </c>
      <c r="B12">
        <f>SUMIF(Transactions!B:B,"Shopping",Transactions!F:F)</f>
        <v>5999</v>
      </c>
    </row>
    <row r="13" spans="1:2" x14ac:dyDescent="0.35">
      <c r="A13" t="s">
        <v>34</v>
      </c>
      <c r="B13">
        <f>SUMIF(Transactions!B:B,"Health",Transactions!F:F)</f>
        <v>2350</v>
      </c>
    </row>
    <row r="14" spans="1:2" x14ac:dyDescent="0.35">
      <c r="A14" t="s">
        <v>31</v>
      </c>
      <c r="B14">
        <f>SUMIF(Transactions!B:B,"Entertainment",Transactions!F:F)</f>
        <v>1598</v>
      </c>
    </row>
    <row r="15" spans="1:2" x14ac:dyDescent="0.35">
      <c r="A15" t="s">
        <v>48</v>
      </c>
      <c r="B15">
        <f>SUMIF(Transactions!B:B,"Savings",Transactions!F:F)</f>
        <v>8000</v>
      </c>
    </row>
    <row r="17" spans="1:2" x14ac:dyDescent="0.35">
      <c r="A17" t="s">
        <v>67</v>
      </c>
    </row>
    <row r="18" spans="1:2" x14ac:dyDescent="0.35">
      <c r="A18" t="s">
        <v>68</v>
      </c>
      <c r="B18">
        <f>COUNTA(Transactions!A:A)-1</f>
        <v>34</v>
      </c>
    </row>
    <row r="19" spans="1:2" x14ac:dyDescent="0.35">
      <c r="A19" t="s">
        <v>69</v>
      </c>
      <c r="B19">
        <f>COUNTIF(Transactions!E:E,"Income")</f>
        <v>4</v>
      </c>
    </row>
    <row r="20" spans="1:2" x14ac:dyDescent="0.35">
      <c r="A20" t="s">
        <v>70</v>
      </c>
      <c r="B20">
        <f>COUNTIF(Transactions!E:E,"Expense")</f>
        <v>30</v>
      </c>
    </row>
    <row r="22" spans="1:2" x14ac:dyDescent="0.35">
      <c r="A22" t="s">
        <v>71</v>
      </c>
    </row>
    <row r="23" spans="1:2" x14ac:dyDescent="0.35">
      <c r="A23" t="s">
        <v>72</v>
      </c>
      <c r="B23">
        <f>AVERAGEIF(Transactions!E:E,"Income",Transactions!F:F)</f>
        <v>35750</v>
      </c>
    </row>
    <row r="24" spans="1:2" x14ac:dyDescent="0.35">
      <c r="A24" t="s">
        <v>73</v>
      </c>
      <c r="B24">
        <f>AVERAGEIF(Transactions!E:E,"Expense",Transactions!F:F)</f>
        <v>1586.5666666666666</v>
      </c>
    </row>
    <row r="26" spans="1:2" x14ac:dyDescent="0.35">
      <c r="A26" t="s">
        <v>74</v>
      </c>
    </row>
    <row r="27" spans="1:2" x14ac:dyDescent="0.35">
      <c r="A27" t="s">
        <v>75</v>
      </c>
      <c r="B27" t="str">
        <f>IF(B5&gt;0,"✅ Saving Money","❌ Overspending")</f>
        <v>✅ Saving Money</v>
      </c>
    </row>
    <row r="28" spans="1:2" x14ac:dyDescent="0.35">
      <c r="A28" t="s">
        <v>76</v>
      </c>
      <c r="B28" t="str">
        <f>IF(B6&gt;=30,"Excellent",IF(B6&gt;=20,"Good",IF(B6&gt;=10,"Average","Poor")))</f>
        <v>Excellent</v>
      </c>
    </row>
    <row r="29" spans="1:2" x14ac:dyDescent="0.35">
      <c r="A29" t="s">
        <v>77</v>
      </c>
      <c r="B29" t="str">
        <f>IF(OR(B9&gt;15000,B12&gt;8000),"⚠️ High Spending Alert","✅ Normal")</f>
        <v>⚠️ High Spending Alert</v>
      </c>
    </row>
  </sheetData>
  <sheetProtection algorithmName="SHA-512" hashValue="wDZ31supxhBo6FT6j628bQ7PhchDr75cSe8guo0RrltP0yaVNp/iIqPJPDdKWhp2NPKWG0zOEl8oeMnqCWIvRg==" saltValue="bV20Uo9eVZq2C9ZJeF0aEQ==" spinCount="100000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010AB-029B-45B3-A182-E611E669A7A9}">
  <dimension ref="A1:E9"/>
  <sheetViews>
    <sheetView tabSelected="1" workbookViewId="0">
      <selection activeCell="K2" sqref="K2"/>
    </sheetView>
  </sheetViews>
  <sheetFormatPr defaultRowHeight="14.5" x14ac:dyDescent="0.35"/>
  <cols>
    <col min="1" max="1" width="12.08984375" customWidth="1"/>
    <col min="4" max="4" width="11.6328125" customWidth="1"/>
    <col min="5" max="5" width="14.7265625" customWidth="1"/>
  </cols>
  <sheetData>
    <row r="1" spans="1:5" s="6" customFormat="1" x14ac:dyDescent="0.35">
      <c r="A1" s="6" t="s">
        <v>1</v>
      </c>
      <c r="B1" s="6" t="s">
        <v>78</v>
      </c>
      <c r="C1" s="6" t="s">
        <v>79</v>
      </c>
      <c r="D1" s="6" t="s">
        <v>80</v>
      </c>
      <c r="E1" s="6" t="s">
        <v>81</v>
      </c>
    </row>
    <row r="2" spans="1:5" x14ac:dyDescent="0.35">
      <c r="A2" t="s">
        <v>11</v>
      </c>
      <c r="B2">
        <v>8000</v>
      </c>
      <c r="C2">
        <f>SUMIF(Transactions!B:B,A2,Transactions!F:F)</f>
        <v>19900</v>
      </c>
      <c r="D2">
        <f>B2-D5</f>
        <v>9000</v>
      </c>
      <c r="E2" t="str">
        <f>IF(D2&gt;=0,"✅ Under Budget","❌ Over Budget")</f>
        <v>✅ Under Budget</v>
      </c>
    </row>
    <row r="3" spans="1:5" x14ac:dyDescent="0.35">
      <c r="A3" t="s">
        <v>15</v>
      </c>
      <c r="B3">
        <v>3000</v>
      </c>
      <c r="C3">
        <f>SUMIF(Transactions!B:B,A3,Transactions!F:F)</f>
        <v>5800</v>
      </c>
      <c r="D3">
        <f t="shared" ref="D3:D8" si="0">B3-D6</f>
        <v>-20597</v>
      </c>
      <c r="E3" t="str">
        <f t="shared" ref="E3:E8" si="1">IF(D3&gt;=0,"✅ Under Budget","❌ Over Budget")</f>
        <v>❌ Over Budget</v>
      </c>
    </row>
    <row r="4" spans="1:5" x14ac:dyDescent="0.35">
      <c r="A4" t="s">
        <v>23</v>
      </c>
      <c r="B4">
        <v>2500</v>
      </c>
      <c r="C4">
        <f>SUMIF(Transactions!B:B,A4,Transactions!F:F)</f>
        <v>3950</v>
      </c>
      <c r="D4">
        <f t="shared" si="0"/>
        <v>1000</v>
      </c>
      <c r="E4" t="str">
        <f t="shared" si="1"/>
        <v>✅ Under Budget</v>
      </c>
    </row>
    <row r="5" spans="1:5" x14ac:dyDescent="0.35">
      <c r="A5" t="s">
        <v>20</v>
      </c>
      <c r="B5">
        <v>4000</v>
      </c>
      <c r="C5">
        <f>SUMIF(Transactions!B:B,A5,Transactions!F:F)</f>
        <v>5999</v>
      </c>
      <c r="D5">
        <f t="shared" si="0"/>
        <v>-1000</v>
      </c>
      <c r="E5" t="str">
        <f t="shared" si="1"/>
        <v>❌ Over Budget</v>
      </c>
    </row>
    <row r="6" spans="1:5" x14ac:dyDescent="0.35">
      <c r="A6" t="s">
        <v>34</v>
      </c>
      <c r="B6">
        <v>2000</v>
      </c>
      <c r="C6">
        <f>SUMIF(Transactions!B:B,A6,Transactions!F:F)</f>
        <v>2350</v>
      </c>
      <c r="D6">
        <f t="shared" si="0"/>
        <v>23597</v>
      </c>
      <c r="E6" t="str">
        <f t="shared" si="1"/>
        <v>✅ Under Budget</v>
      </c>
    </row>
    <row r="7" spans="1:5" x14ac:dyDescent="0.35">
      <c r="A7" t="s">
        <v>31</v>
      </c>
      <c r="B7">
        <v>1500</v>
      </c>
      <c r="C7">
        <f>SUMIF(Transactions!B:B,A7,Transactions!F:F)</f>
        <v>1598</v>
      </c>
      <c r="D7">
        <f t="shared" si="0"/>
        <v>1500</v>
      </c>
      <c r="E7" t="str">
        <f t="shared" si="1"/>
        <v>✅ Under Budget</v>
      </c>
    </row>
    <row r="8" spans="1:5" x14ac:dyDescent="0.35">
      <c r="A8" t="s">
        <v>48</v>
      </c>
      <c r="B8">
        <v>5000</v>
      </c>
      <c r="C8">
        <f>SUMIF(Transactions!B:B,A8,Transactions!F:F)</f>
        <v>8000</v>
      </c>
      <c r="D8">
        <f t="shared" si="0"/>
        <v>5000</v>
      </c>
      <c r="E8" t="str">
        <f t="shared" si="1"/>
        <v>✅ Under Budget</v>
      </c>
    </row>
    <row r="9" spans="1:5" x14ac:dyDescent="0.35">
      <c r="A9" t="s">
        <v>82</v>
      </c>
      <c r="B9">
        <f>SUM(B2:B8)</f>
        <v>26000</v>
      </c>
      <c r="C9">
        <f>SUM(C2:C8)</f>
        <v>47597</v>
      </c>
      <c r="D9">
        <f>B9-C9</f>
        <v>-21597</v>
      </c>
    </row>
  </sheetData>
  <conditionalFormatting sqref="D2:D8">
    <cfRule type="cellIs" dxfId="5" priority="1" operator="lessThan">
      <formula>0</formula>
    </cfRule>
    <cfRule type="cellIs" dxfId="4" priority="2" operator="greaterThanOr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634B8-7D03-4FF2-A9DD-1692D4573D34}">
  <dimension ref="A1:F11"/>
  <sheetViews>
    <sheetView workbookViewId="0">
      <selection activeCell="F11" sqref="F11"/>
    </sheetView>
  </sheetViews>
  <sheetFormatPr defaultRowHeight="14.5" x14ac:dyDescent="0.35"/>
  <cols>
    <col min="1" max="1" width="11.81640625" customWidth="1"/>
    <col min="2" max="2" width="7.26953125" customWidth="1"/>
    <col min="5" max="5" width="12.7265625" customWidth="1"/>
  </cols>
  <sheetData>
    <row r="1" spans="1:6" s="7" customFormat="1" x14ac:dyDescent="0.35">
      <c r="A1" s="7" t="s">
        <v>1</v>
      </c>
      <c r="B1" s="7" t="s">
        <v>78</v>
      </c>
      <c r="C1" s="7" t="s">
        <v>83</v>
      </c>
      <c r="E1" s="7" t="s">
        <v>92</v>
      </c>
      <c r="F1" s="7" t="s">
        <v>11</v>
      </c>
    </row>
    <row r="2" spans="1:6" x14ac:dyDescent="0.35">
      <c r="A2" t="s">
        <v>11</v>
      </c>
      <c r="B2">
        <v>8000</v>
      </c>
      <c r="C2" t="s">
        <v>85</v>
      </c>
      <c r="E2" t="s">
        <v>93</v>
      </c>
      <c r="F2" t="s">
        <v>11</v>
      </c>
    </row>
    <row r="3" spans="1:6" x14ac:dyDescent="0.35">
      <c r="A3" t="s">
        <v>15</v>
      </c>
      <c r="B3">
        <v>3000</v>
      </c>
      <c r="C3" t="s">
        <v>86</v>
      </c>
      <c r="E3" t="s">
        <v>94</v>
      </c>
      <c r="F3">
        <f>VLOOKUP(F1,A2:C8,2,FALSE)</f>
        <v>8000</v>
      </c>
    </row>
    <row r="4" spans="1:6" x14ac:dyDescent="0.35">
      <c r="A4" t="s">
        <v>84</v>
      </c>
      <c r="B4">
        <v>2500</v>
      </c>
      <c r="C4" t="s">
        <v>87</v>
      </c>
      <c r="E4" t="s">
        <v>83</v>
      </c>
      <c r="F4" t="str">
        <f>VLOOKUP(F1,A2:C8,3,FALSE)</f>
        <v>🍕</v>
      </c>
    </row>
    <row r="5" spans="1:6" x14ac:dyDescent="0.35">
      <c r="A5" t="s">
        <v>20</v>
      </c>
      <c r="B5">
        <v>4000</v>
      </c>
      <c r="C5" t="s">
        <v>88</v>
      </c>
    </row>
    <row r="6" spans="1:6" x14ac:dyDescent="0.35">
      <c r="A6" t="s">
        <v>34</v>
      </c>
      <c r="B6">
        <v>2000</v>
      </c>
      <c r="C6" t="s">
        <v>89</v>
      </c>
      <c r="E6" t="s">
        <v>95</v>
      </c>
    </row>
    <row r="7" spans="1:6" x14ac:dyDescent="0.35">
      <c r="A7" t="s">
        <v>31</v>
      </c>
      <c r="B7">
        <v>1500</v>
      </c>
      <c r="C7" t="s">
        <v>90</v>
      </c>
      <c r="E7" t="s">
        <v>94</v>
      </c>
      <c r="F7">
        <f>INDEX(B2:B8,MATCH(F1,A2:A8,0))</f>
        <v>8000</v>
      </c>
    </row>
    <row r="8" spans="1:6" x14ac:dyDescent="0.35">
      <c r="A8" t="s">
        <v>48</v>
      </c>
      <c r="B8">
        <v>5000</v>
      </c>
      <c r="C8" t="s">
        <v>91</v>
      </c>
    </row>
    <row r="10" spans="1:6" x14ac:dyDescent="0.35">
      <c r="A10" t="s">
        <v>4</v>
      </c>
      <c r="B10" s="8">
        <v>45292</v>
      </c>
      <c r="C10" s="8">
        <v>45323</v>
      </c>
      <c r="D10" s="8">
        <v>45352</v>
      </c>
      <c r="E10" t="s">
        <v>96</v>
      </c>
      <c r="F10" s="8">
        <v>45323</v>
      </c>
    </row>
    <row r="11" spans="1:6" x14ac:dyDescent="0.35">
      <c r="A11" t="s">
        <v>8</v>
      </c>
      <c r="B11">
        <v>45000</v>
      </c>
      <c r="C11">
        <v>53000</v>
      </c>
      <c r="D11">
        <v>45000</v>
      </c>
      <c r="E11" t="s">
        <v>8</v>
      </c>
      <c r="F11">
        <f>HLOOKUP(F10,A10:D11,2,FALSE)</f>
        <v>53000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EE38C-6698-49E2-8FE0-34BCBA6E42E5}">
  <dimension ref="A1"/>
  <sheetViews>
    <sheetView workbookViewId="0"/>
  </sheetViews>
  <sheetFormatPr defaultRowHeight="14.5" x14ac:dyDescent="0.35"/>
  <cols>
    <col min="1" max="1" width="44" customWidth="1"/>
  </cols>
  <sheetData>
    <row r="1" spans="1:1" ht="21" x14ac:dyDescent="0.5">
      <c r="A1" s="9" t="s">
        <v>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Sheet8</vt:lpstr>
      <vt:lpstr> Pivot</vt:lpstr>
      <vt:lpstr>Transactions</vt:lpstr>
      <vt:lpstr>Summary</vt:lpstr>
      <vt:lpstr>Budget</vt:lpstr>
      <vt:lpstr>Lookup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Drishti Panthri</dc:creator>
  <cp:lastModifiedBy>Drishti Panthri</cp:lastModifiedBy>
  <dcterms:created xsi:type="dcterms:W3CDTF">2026-06-27T11:38:29Z</dcterms:created>
  <dcterms:modified xsi:type="dcterms:W3CDTF">2026-06-27T15:02:44Z</dcterms:modified>
</cp:coreProperties>
</file>